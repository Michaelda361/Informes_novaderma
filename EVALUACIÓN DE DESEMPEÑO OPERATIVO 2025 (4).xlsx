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abnovaderma.sharepoint.com/sites/LaboratoriosNovaderma/gerencia/sgi/Documentos compartidos/RECURSOS HUMANOS/INDICADORES/INDICADORES 2025/TABULACION EVALUACIONES DE DESEMPEÑO/EVALUACIONES DE DESEMPEÑO 2025/"/>
    </mc:Choice>
  </mc:AlternateContent>
  <xr:revisionPtr revIDLastSave="247" documentId="8_{385D88A9-2527-45F1-8AE1-28EE8A6DD3DC}" xr6:coauthVersionLast="47" xr6:coauthVersionMax="47" xr10:uidLastSave="{AC545C12-1715-45B4-A45C-0CCF5FDDB4A2}"/>
  <bookViews>
    <workbookView xWindow="-120" yWindow="-120" windowWidth="20730" windowHeight="11160" xr2:uid="{2AD22428-A525-4084-9003-09896B0EC08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8" i="1" l="1"/>
  <c r="AQ7" i="1"/>
  <c r="AQ3" i="1"/>
  <c r="AQ4" i="1"/>
  <c r="AQ5" i="1"/>
  <c r="AQ6" i="1"/>
  <c r="AQ2" i="1"/>
</calcChain>
</file>

<file path=xl/sharedStrings.xml><?xml version="1.0" encoding="utf-8"?>
<sst xmlns="http://schemas.openxmlformats.org/spreadsheetml/2006/main" count="139" uniqueCount="118">
  <si>
    <t>Id</t>
  </si>
  <si>
    <t>Hora de inicio</t>
  </si>
  <si>
    <t>Hora de finalización</t>
  </si>
  <si>
    <t>Correo electrónico</t>
  </si>
  <si>
    <t>Nombre1</t>
  </si>
  <si>
    <t>Cargo</t>
  </si>
  <si>
    <t>Área</t>
  </si>
  <si>
    <t>Nombre del Jefe inmediato</t>
  </si>
  <si>
    <t>Fecha</t>
  </si>
  <si>
    <t>Periodo de Evaluación</t>
  </si>
  <si>
    <t>En una escala de 1 a 5, donde 1 significa deficiente  y  5 Sobresaliente..Organiza las tareas a fin de cumplir con los tiempos establecidos</t>
  </si>
  <si>
    <t>En una escala de 1 a 5, donde 1 significa deficiente  y  5 Sobresaliente..Conoce y aplica los procedimientos del área</t>
  </si>
  <si>
    <t>En una escala de 1 a 5, donde 1 significa deficiente  y  5 Sobresaliente..Cumple con los resultados esperados de su función</t>
  </si>
  <si>
    <t>En una escala de 1 a 5, donde 1 significa deficiente  y  5 Sobresaliente..Demuestra capacidad para apoyar y generar aportes constructivos al área</t>
  </si>
  <si>
    <t>En una escala de 1 a 5, donde 1 significa deficiente  y  5 Sobresaliente..Realiza las actividades encomendadas según las instrucciones dadas</t>
  </si>
  <si>
    <t>En una escala de 1 a 5, donde 1 significa deficiente  y  5 Sobresaliente..Evita perder tiempo en actividades que no son propias de las funciones (chat, corrillos, etc.)</t>
  </si>
  <si>
    <t>En una escala de 1 a 5, donde 1 significa deficiente  y  5 Sobresaliente..Aplica en su desempeño diario los conceptos vistos en capacitaciones y entrenamientos</t>
  </si>
  <si>
    <t>En una escala de 1 a 5, donde 1 significa deficiente  y  5 Sobresaliente..Hace uso adecuado del equipo y demás elementos de trabajo entregados para el desarrollo de sus funciones</t>
  </si>
  <si>
    <t>En una escala de 1 a 5, donde 1 significa deficiente  y  5 Sobresaliente..Demuestra disposición para apoyar y servir de forma atenta y eficaz en las actividades del área</t>
  </si>
  <si>
    <t>COMPROMISO.Demuestra compromiso con el cumplimiento de los objetivos  y las metas de LABORATORIOS NOVADERMA S.A y de su área de trabajo</t>
  </si>
  <si>
    <t>COMPROMISO.Actúa en pro de los intereses de la empresa y del bienestar general</t>
  </si>
  <si>
    <t>COMPROMISO.Cumple con las políticas, leyes, reglamentos, procedimientos, normas y horarios aplicables.</t>
  </si>
  <si>
    <t>COMPROMISO.Mantiene confidencialidad con la información y datos que almacena</t>
  </si>
  <si>
    <t>COMPROMISO.Es respetuoso del conducto regular para pedir permisos,  comunicar ausentismos y hacer reclamos y peticiones.</t>
  </si>
  <si>
    <t>CALIDAD Y MEJORAMIENTO CONTINUO.Conoce, entiende y aplica la política de calidad de LABORATORIOS NOVADERMA SA</t>
  </si>
  <si>
    <t>CALIDAD Y MEJORAMIENTO CONTINUO.Propone alternativas para mejorar el trabajo, aportando ideas constructivas y recomendaciones</t>
  </si>
  <si>
    <t>LEALTAD.Demuestra veracidad en su actuar y en la información suministrada de su área de trabajo</t>
  </si>
  <si>
    <t>LEALTAD.Es respetuoso con los bienes entregados y con los que son de uso común</t>
  </si>
  <si>
    <t>SEGURIDAD Y SALUD EN EL TRABAJO.Demuestra compromiso con el cumplimiento de La política y objetivos de seguridad y salud en el trabajo establecidos por LABORATORIOS NOVADERMA S.A y de su área de traba</t>
  </si>
  <si>
    <t>SEGURIDAD Y SALUD EN EL TRABAJO.Actúa en pro del cuidado personal, previniendo actos inseguros que puedan ocasionar enfermedades laborales o accidentes de trabajo</t>
  </si>
  <si>
    <t>SEGURIDAD Y SALUD EN EL TRABAJO.Participa activamente de las actividades y programas establecidos por la empresa para mejorar la seguridad y salud en el trabajo</t>
  </si>
  <si>
    <t>ACTITUD DE SERVICIO.Se preocupa por satisfacer las necesidades del cliente interno y externo</t>
  </si>
  <si>
    <t>ORIENTACIÓN AL LOGRO.Se preocupa por trabajar bien y por lograr la meta propuesta</t>
  </si>
  <si>
    <t>COMUNICACIÓN.Tiene capacidad de comunicarse de forma asertiva con sus jefes y compañeros de trabajo</t>
  </si>
  <si>
    <t>RELACIONES INTERPERSONALES.Mantiene relaciones de cordialidad con clientes, jefes y compañeros de trabajo</t>
  </si>
  <si>
    <t>TRABAJO EN EQUIPO.Apoya a los compañeros para la solución de problemas y el logro de objetivos</t>
  </si>
  <si>
    <t>ADAPTACIÓN AL CAMBIO.Capacidad de adaptarse a los cambios y proponer nuevas alternativas para el logro de objetivos</t>
  </si>
  <si>
    <t>PORCENTAJE</t>
  </si>
  <si>
    <t>Que aportes hizo usted para el cumplimiento de los objetivos del Área?</t>
  </si>
  <si>
    <t>En qué aspectos o situaciones considera Ud. que puede mejorar en el próximo periodo?</t>
  </si>
  <si>
    <t>En qué área siente que tiene una debilidad para cumplir con los objetivos trazados en que su jefe inmediato pueda orientarlo?</t>
  </si>
  <si>
    <t>Qué objetivos individuales o logros considera que alcanzó durante este año?</t>
  </si>
  <si>
    <t>Qué objetivos espera superar en el próximo periodo?</t>
  </si>
  <si>
    <t>Comentarios del jefe inmediato (Fortalezas y Debilidades)</t>
  </si>
  <si>
    <t>Plan de mejora Propuesto</t>
  </si>
  <si>
    <t>AUXILIAR  LOGISTICO</t>
  </si>
  <si>
    <t>LOGISTICA</t>
  </si>
  <si>
    <t>ROSALBA CORTES</t>
  </si>
  <si>
    <t> 5</t>
  </si>
  <si>
    <t>SISTEMAS</t>
  </si>
  <si>
    <t>1/17/26 10:55:10</t>
  </si>
  <si>
    <t>1/17/26 11:25:45</t>
  </si>
  <si>
    <t>1/17/26 11:25:08</t>
  </si>
  <si>
    <t>1/17/26 12:04:53</t>
  </si>
  <si>
    <t>anónimo</t>
  </si>
  <si>
    <t>ANTONIO MERCHAN</t>
  </si>
  <si>
    <t>ANTONIO  MURIEL</t>
  </si>
  <si>
    <t>GEOVANNY  VERGARA</t>
  </si>
  <si>
    <t>KATTY YULIETH CERRO ARGUELLO</t>
  </si>
  <si>
    <t>BLANCA LIGIA ACUÑA QUEVEDO</t>
  </si>
  <si>
    <t>AUXILIAR  DE  ALMACEN</t>
  </si>
  <si>
    <t>SERVICIOS GENERALES Y AUX DE BODEGA</t>
  </si>
  <si>
    <t>SERVICIOS GENERALES</t>
  </si>
  <si>
    <t>LOGISTICa</t>
  </si>
  <si>
    <t xml:space="preserve">RECURSOS HUMANOS </t>
  </si>
  <si>
    <t>RECURSOS HUMANOS</t>
  </si>
  <si>
    <t>ROSALBA  CORTES</t>
  </si>
  <si>
    <t>FRANCY GUTIERREZ</t>
  </si>
  <si>
    <t>SEGURIDAD Y SALUD EN EL TRABAJO.Demuestra con sus acciones en la vía pública cumplimiento de los requisitos del Plan estratégico de seguridad vial</t>
  </si>
  <si>
    <t>ÉTICA Y RESPONSABILIDAD SOCIAL.Mantiene confidencialidad con la información y datos que almacena cumpliendo los requisitos de la ley de protección de datos</t>
  </si>
  <si>
    <t>ÉTICA Y RESPONSABILIDAD SOCIAL.Con sus acciones contribuye a disminuir el cambio climático</t>
  </si>
  <si>
    <t>ÉTICA Y RESPONSABILIDAD SOCIAL.Promueve un ambiente de trabajo sano, respetuoso y  libre de discriminación.</t>
  </si>
  <si>
    <t>ÉTICA Y RESPONSABILIDAD SOCIAL.Se asegura de dar cumplimiento a los procedimientos de ética establecidos por la organización</t>
  </si>
  <si>
    <t xml:space="preserve">CUMPLIMIENTO DE  SGC </t>
  </si>
  <si>
    <t>SOSTENIMIENTO  DE  SGC</t>
  </si>
  <si>
    <t>SOSTENIMIENTO  DEL SGC</t>
  </si>
  <si>
    <t>Disponibilidad para suplir las necesidades en las diferentes sedes en diferentes roles operativo, de servicio y administrativo, siendo un Rol</t>
  </si>
  <si>
    <t>Seguir las indicaciones del jefe inmediato</t>
  </si>
  <si>
    <t>TRABAJO EN  EQUIPO</t>
  </si>
  <si>
    <t>SISTEMA</t>
  </si>
  <si>
    <t xml:space="preserve">Actitud de servicio y proactividad </t>
  </si>
  <si>
    <t>Distribución de tiempo</t>
  </si>
  <si>
    <t xml:space="preserve">RECORDACION  DE PROCEDIMIEMTOS  INTERNOS  </t>
  </si>
  <si>
    <t>SITEMAS</t>
  </si>
  <si>
    <t>Cococimientos administrativos, orientarse a los resulatdos</t>
  </si>
  <si>
    <t>Trabajar en equipo</t>
  </si>
  <si>
    <t>CONTRIBUIDO  EN EL SGC</t>
  </si>
  <si>
    <t>MEJORA  CONTINUIA  DEL  SGC</t>
  </si>
  <si>
    <t>APORTES  DE  SU  EXPERIENCIA  LABORAL</t>
  </si>
  <si>
    <t xml:space="preserve">Apoyar en actiividades administartivas de recurso humano y operativas de almacén </t>
  </si>
  <si>
    <t>Cumplir con las indicaciones y apoyo en la sede Cota</t>
  </si>
  <si>
    <t xml:space="preserve">CONTINUAR  CON LOS  OBJETIVOS  DE  VENTAS </t>
  </si>
  <si>
    <t>AUMENTOS  EN  VENTAS</t>
  </si>
  <si>
    <t>AUMENTO  DEL  SERVICIO  DE LA CALIDAD</t>
  </si>
  <si>
    <t>Aprendizaje académico y capacitaciones</t>
  </si>
  <si>
    <t>Trabajo en equipo</t>
  </si>
  <si>
    <t>Porcentaje de error (despacho, alistamiento, etc.)</t>
  </si>
  <si>
    <t>Bajo</t>
  </si>
  <si>
    <t>SE  MANTIENE FIEL  A LA  COMPAÑIA</t>
  </si>
  <si>
    <t>LEALTAD  A  LOS  DIRECTIVOS  DE LA COMPAÑIA</t>
  </si>
  <si>
    <t>SE  MANTIENE SU  APTITUD  DE  APORTE  A  LA  COMPAÑIA</t>
  </si>
  <si>
    <t>Es una persona muy dispuesta, clara, honesta y confidencial</t>
  </si>
  <si>
    <t>Foratleza: agilidad para resolver situaciones</t>
  </si>
  <si>
    <t>RECORDACION DE  PROCEDIMIENTOS  DEL AREA</t>
  </si>
  <si>
    <t>REFORZAR  Y  RECORDAR  PROCEDIMIENTOS</t>
  </si>
  <si>
    <t>CONOCIMIENTO  DE  SISTEMA  CONTABLE</t>
  </si>
  <si>
    <t>Participación en capacitaciones y continuar con la formación superior - mejorar actitud de servicio en Almacen y proactividad</t>
  </si>
  <si>
    <t>Comunicación con jefe e integrantes del equipo de trabajo</t>
  </si>
  <si>
    <t>1/19/26 15:40:41</t>
  </si>
  <si>
    <t>1/19/26 15:59:21</t>
  </si>
  <si>
    <t xml:space="preserve">LUZ DARY FORERO </t>
  </si>
  <si>
    <t>Seguir los planes de trabajo asignados y hacer sugerencias para la mejora</t>
  </si>
  <si>
    <t>Capacitaciones de Seguridad y salud en el trabajo</t>
  </si>
  <si>
    <t>conocimientos en primeros auxilios</t>
  </si>
  <si>
    <t>Mejorar trabajo en equipo</t>
  </si>
  <si>
    <t>bajo</t>
  </si>
  <si>
    <t>Persona con dinamismo y conocimiento de los requisitos internos del personal - Debilidad:  la comunicación con el jefe inmediato y trabajo en equipo</t>
  </si>
  <si>
    <t>Mejorar la comunicación con el jefe inmediato y trabajo en equipo, participar en las capacitaciones del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</si>
</sst>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14" fontId="2" fillId="0" borderId="0" xfId="0" applyNumberFormat="1" applyFont="1"/>
    <xf numFmtId="164" fontId="2" fillId="3" borderId="0" xfId="0" applyNumberFormat="1" applyFon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164" fontId="2" fillId="4" borderId="0" xfId="0" applyNumberFormat="1" applyFont="1" applyFill="1" applyAlignment="1">
      <alignment horizontal="center"/>
    </xf>
    <xf numFmtId="164" fontId="0" fillId="0" borderId="0" xfId="0" applyNumberFormat="1"/>
    <xf numFmtId="22" fontId="2" fillId="0" borderId="0" xfId="0" applyNumberFormat="1" applyFont="1"/>
    <xf numFmtId="22" fontId="2" fillId="3" borderId="0" xfId="0" applyNumberFormat="1" applyFont="1" applyFill="1"/>
    <xf numFmtId="14" fontId="2" fillId="3" borderId="0" xfId="0" applyNumberFormat="1" applyFont="1" applyFill="1"/>
    <xf numFmtId="0" fontId="2" fillId="3" borderId="0" xfId="0" applyFont="1" applyFill="1" applyAlignment="1">
      <alignment horizontal="right"/>
    </xf>
    <xf numFmtId="9" fontId="2" fillId="3" borderId="0" xfId="0" applyNumberFormat="1" applyFont="1" applyFill="1"/>
    <xf numFmtId="9" fontId="2" fillId="0" borderId="0" xfId="0" applyNumberFormat="1" applyFont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11D3-4F33-47FC-9723-B3590D6A4795}">
  <dimension ref="A1:AY8"/>
  <sheetViews>
    <sheetView tabSelected="1" topLeftCell="AK1" workbookViewId="0">
      <selection activeCell="AW7" sqref="AW7"/>
    </sheetView>
  </sheetViews>
  <sheetFormatPr baseColWidth="10" defaultColWidth="11.42578125" defaultRowHeight="15" x14ac:dyDescent="0.25"/>
  <cols>
    <col min="2" max="2" width="15.85546875" customWidth="1"/>
    <col min="3" max="3" width="16.140625" customWidth="1"/>
    <col min="6" max="6" width="18.14062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96</v>
      </c>
      <c r="AX1" s="1" t="s">
        <v>43</v>
      </c>
      <c r="AY1" s="1" t="s">
        <v>44</v>
      </c>
    </row>
    <row r="2" spans="1:51" x14ac:dyDescent="0.25">
      <c r="A2" s="2">
        <v>18</v>
      </c>
      <c r="B2" s="10">
        <v>45669.716840277775</v>
      </c>
      <c r="C2" s="11">
        <v>45669.721087962964</v>
      </c>
      <c r="D2" s="2" t="s">
        <v>54</v>
      </c>
      <c r="E2" s="2" t="s">
        <v>55</v>
      </c>
      <c r="F2" s="2" t="s">
        <v>60</v>
      </c>
      <c r="G2" s="2" t="s">
        <v>63</v>
      </c>
      <c r="H2" s="2" t="s">
        <v>47</v>
      </c>
      <c r="I2" s="12">
        <v>45992</v>
      </c>
      <c r="J2" s="2">
        <v>2025</v>
      </c>
      <c r="K2" s="2">
        <v>4</v>
      </c>
      <c r="L2" s="2">
        <v>4</v>
      </c>
      <c r="M2" s="2">
        <v>4</v>
      </c>
      <c r="N2" s="2">
        <v>4</v>
      </c>
      <c r="O2" s="2">
        <v>4</v>
      </c>
      <c r="P2" s="2">
        <v>4</v>
      </c>
      <c r="Q2" s="2">
        <v>4</v>
      </c>
      <c r="R2" s="2">
        <v>4</v>
      </c>
      <c r="S2" s="2">
        <v>4</v>
      </c>
      <c r="T2" s="2">
        <v>4</v>
      </c>
      <c r="U2" s="2">
        <v>4</v>
      </c>
      <c r="V2" s="2">
        <v>4</v>
      </c>
      <c r="W2" s="2"/>
      <c r="X2" s="2">
        <v>4</v>
      </c>
      <c r="Y2" s="2">
        <v>4</v>
      </c>
      <c r="Z2" s="2">
        <v>4</v>
      </c>
      <c r="AA2" s="2">
        <v>4</v>
      </c>
      <c r="AB2" s="2">
        <v>4</v>
      </c>
      <c r="AC2" s="2">
        <v>4</v>
      </c>
      <c r="AD2" s="2">
        <v>4</v>
      </c>
      <c r="AE2" s="2">
        <v>4</v>
      </c>
      <c r="AF2" s="2">
        <v>4</v>
      </c>
      <c r="AG2" s="2">
        <v>4</v>
      </c>
      <c r="AH2" s="2">
        <v>4</v>
      </c>
      <c r="AI2" s="2">
        <v>4</v>
      </c>
      <c r="AJ2" s="2">
        <v>4</v>
      </c>
      <c r="AK2" s="2">
        <v>4</v>
      </c>
      <c r="AL2" s="2">
        <v>4</v>
      </c>
      <c r="AM2" s="2">
        <v>4</v>
      </c>
      <c r="AN2" s="2">
        <v>4</v>
      </c>
      <c r="AO2" s="2">
        <v>3</v>
      </c>
      <c r="AP2" s="2">
        <v>4</v>
      </c>
      <c r="AQ2" s="5">
        <f>AVERAGE(K2:AP2)</f>
        <v>3.967741935483871</v>
      </c>
      <c r="AR2" s="2" t="s">
        <v>73</v>
      </c>
      <c r="AS2" s="2" t="s">
        <v>78</v>
      </c>
      <c r="AT2" s="2" t="s">
        <v>49</v>
      </c>
      <c r="AU2" s="2" t="s">
        <v>86</v>
      </c>
      <c r="AV2" s="2" t="s">
        <v>91</v>
      </c>
      <c r="AW2" s="14">
        <v>0.02</v>
      </c>
      <c r="AX2" s="2" t="s">
        <v>98</v>
      </c>
      <c r="AY2" s="2" t="s">
        <v>103</v>
      </c>
    </row>
    <row r="3" spans="1:51" x14ac:dyDescent="0.25">
      <c r="A3" s="3">
        <v>19</v>
      </c>
      <c r="B3" s="10">
        <v>45669.721134259256</v>
      </c>
      <c r="C3" s="10">
        <v>45669.72452546296</v>
      </c>
      <c r="D3" s="3" t="s">
        <v>54</v>
      </c>
      <c r="E3" s="3" t="s">
        <v>56</v>
      </c>
      <c r="F3" s="3" t="s">
        <v>60</v>
      </c>
      <c r="G3" s="3" t="s">
        <v>46</v>
      </c>
      <c r="H3" s="3" t="s">
        <v>47</v>
      </c>
      <c r="I3" s="4">
        <v>45992</v>
      </c>
      <c r="J3" s="3">
        <v>2025</v>
      </c>
      <c r="K3" s="3">
        <v>4</v>
      </c>
      <c r="L3" s="3">
        <v>4</v>
      </c>
      <c r="M3" s="3">
        <v>4</v>
      </c>
      <c r="N3" s="3">
        <v>4</v>
      </c>
      <c r="O3" s="3">
        <v>4</v>
      </c>
      <c r="P3" s="3">
        <v>4</v>
      </c>
      <c r="Q3" s="3">
        <v>4</v>
      </c>
      <c r="R3" s="3">
        <v>4</v>
      </c>
      <c r="S3" s="3">
        <v>4</v>
      </c>
      <c r="T3" s="3">
        <v>4</v>
      </c>
      <c r="U3" s="3">
        <v>4</v>
      </c>
      <c r="V3" s="3">
        <v>4</v>
      </c>
      <c r="W3" s="3"/>
      <c r="X3" s="3">
        <v>3</v>
      </c>
      <c r="Y3" s="3">
        <v>4</v>
      </c>
      <c r="Z3" s="3">
        <v>4</v>
      </c>
      <c r="AA3" s="3">
        <v>4</v>
      </c>
      <c r="AB3" s="3">
        <v>4</v>
      </c>
      <c r="AC3" s="3">
        <v>4</v>
      </c>
      <c r="AD3" s="3">
        <v>4</v>
      </c>
      <c r="AE3" s="3">
        <v>4</v>
      </c>
      <c r="AF3" s="3">
        <v>4</v>
      </c>
      <c r="AG3" s="3">
        <v>4</v>
      </c>
      <c r="AH3" s="3">
        <v>4</v>
      </c>
      <c r="AI3" s="3">
        <v>4</v>
      </c>
      <c r="AJ3" s="3">
        <v>4</v>
      </c>
      <c r="AK3" s="3">
        <v>4</v>
      </c>
      <c r="AL3" s="3">
        <v>4</v>
      </c>
      <c r="AM3" s="3">
        <v>4</v>
      </c>
      <c r="AN3" s="3">
        <v>4</v>
      </c>
      <c r="AO3" s="3">
        <v>3</v>
      </c>
      <c r="AP3" s="3">
        <v>3</v>
      </c>
      <c r="AQ3" s="5">
        <f t="shared" ref="AQ3:AQ7" si="0">AVERAGE(K3:AP3)</f>
        <v>3.903225806451613</v>
      </c>
      <c r="AR3" s="3" t="s">
        <v>74</v>
      </c>
      <c r="AS3" s="3" t="s">
        <v>49</v>
      </c>
      <c r="AT3" s="3" t="s">
        <v>82</v>
      </c>
      <c r="AU3" s="3" t="s">
        <v>87</v>
      </c>
      <c r="AV3" s="3" t="s">
        <v>92</v>
      </c>
      <c r="AW3" s="15">
        <v>0.02</v>
      </c>
      <c r="AX3" s="3" t="s">
        <v>99</v>
      </c>
      <c r="AY3" s="3" t="s">
        <v>104</v>
      </c>
    </row>
    <row r="4" spans="1:51" x14ac:dyDescent="0.25">
      <c r="A4" s="2">
        <v>20</v>
      </c>
      <c r="B4" s="10">
        <v>45669.724560185183</v>
      </c>
      <c r="C4" s="11">
        <v>45669.728958333333</v>
      </c>
      <c r="D4" s="2" t="s">
        <v>54</v>
      </c>
      <c r="E4" s="2" t="s">
        <v>57</v>
      </c>
      <c r="F4" s="2" t="s">
        <v>45</v>
      </c>
      <c r="G4" s="2" t="s">
        <v>46</v>
      </c>
      <c r="H4" s="2" t="s">
        <v>66</v>
      </c>
      <c r="I4" s="12">
        <v>45992</v>
      </c>
      <c r="J4" s="2">
        <v>2025</v>
      </c>
      <c r="K4" s="13" t="s">
        <v>48</v>
      </c>
      <c r="L4" s="13" t="s">
        <v>48</v>
      </c>
      <c r="M4" s="13" t="s">
        <v>48</v>
      </c>
      <c r="N4" s="13" t="s">
        <v>48</v>
      </c>
      <c r="O4" s="2">
        <v>4</v>
      </c>
      <c r="P4" s="2">
        <v>4</v>
      </c>
      <c r="Q4" s="13" t="s">
        <v>48</v>
      </c>
      <c r="R4" s="13" t="s">
        <v>48</v>
      </c>
      <c r="S4" s="13" t="s">
        <v>48</v>
      </c>
      <c r="T4" s="2">
        <v>4</v>
      </c>
      <c r="U4" s="2">
        <v>4</v>
      </c>
      <c r="V4" s="2">
        <v>4</v>
      </c>
      <c r="W4" s="2"/>
      <c r="X4" s="2">
        <v>4</v>
      </c>
      <c r="Y4" s="2">
        <v>4</v>
      </c>
      <c r="Z4" s="2">
        <v>4</v>
      </c>
      <c r="AA4" s="2">
        <v>4</v>
      </c>
      <c r="AB4" s="2">
        <v>4</v>
      </c>
      <c r="AC4" s="2">
        <v>4</v>
      </c>
      <c r="AD4" s="2">
        <v>4</v>
      </c>
      <c r="AE4" s="2">
        <v>4</v>
      </c>
      <c r="AF4" s="2">
        <v>4</v>
      </c>
      <c r="AG4" s="2">
        <v>4</v>
      </c>
      <c r="AH4" s="2">
        <v>4</v>
      </c>
      <c r="AI4" s="2">
        <v>4</v>
      </c>
      <c r="AJ4" s="2">
        <v>4</v>
      </c>
      <c r="AK4" s="2">
        <v>5</v>
      </c>
      <c r="AL4" s="2">
        <v>5</v>
      </c>
      <c r="AM4" s="2">
        <v>5</v>
      </c>
      <c r="AN4" s="2">
        <v>5</v>
      </c>
      <c r="AO4" s="2">
        <v>5</v>
      </c>
      <c r="AP4" s="2">
        <v>5</v>
      </c>
      <c r="AQ4" s="5">
        <f t="shared" si="0"/>
        <v>4.25</v>
      </c>
      <c r="AR4" s="2" t="s">
        <v>75</v>
      </c>
      <c r="AS4" s="2" t="s">
        <v>79</v>
      </c>
      <c r="AT4" s="2" t="s">
        <v>83</v>
      </c>
      <c r="AU4" s="2" t="s">
        <v>88</v>
      </c>
      <c r="AV4" s="2" t="s">
        <v>93</v>
      </c>
      <c r="AW4" s="14">
        <v>0.01</v>
      </c>
      <c r="AX4" s="2" t="s">
        <v>100</v>
      </c>
      <c r="AY4" s="2" t="s">
        <v>105</v>
      </c>
    </row>
    <row r="5" spans="1:51" x14ac:dyDescent="0.25">
      <c r="A5" s="3">
        <v>21</v>
      </c>
      <c r="B5" s="3" t="s">
        <v>50</v>
      </c>
      <c r="C5" s="3" t="s">
        <v>52</v>
      </c>
      <c r="D5" s="3" t="s">
        <v>54</v>
      </c>
      <c r="E5" s="3" t="s">
        <v>58</v>
      </c>
      <c r="F5" s="3" t="s">
        <v>61</v>
      </c>
      <c r="G5" s="3" t="s">
        <v>64</v>
      </c>
      <c r="H5" s="3" t="s">
        <v>67</v>
      </c>
      <c r="I5" s="4">
        <v>46039</v>
      </c>
      <c r="J5" s="3">
        <v>2025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3</v>
      </c>
      <c r="Q5" s="3">
        <v>4</v>
      </c>
      <c r="R5" s="3">
        <v>4</v>
      </c>
      <c r="S5" s="3">
        <v>3</v>
      </c>
      <c r="T5" s="3">
        <v>4</v>
      </c>
      <c r="U5" s="3">
        <v>4</v>
      </c>
      <c r="V5" s="3">
        <v>4</v>
      </c>
      <c r="W5" s="3"/>
      <c r="X5" s="3">
        <v>4</v>
      </c>
      <c r="Y5" s="3">
        <v>3</v>
      </c>
      <c r="Z5" s="3">
        <v>4</v>
      </c>
      <c r="AA5" s="3">
        <v>4</v>
      </c>
      <c r="AB5" s="3">
        <v>4</v>
      </c>
      <c r="AC5" s="3">
        <v>4</v>
      </c>
      <c r="AD5" s="3">
        <v>4</v>
      </c>
      <c r="AE5" s="3">
        <v>4</v>
      </c>
      <c r="AF5" s="3">
        <v>4</v>
      </c>
      <c r="AG5" s="3">
        <v>5</v>
      </c>
      <c r="AH5" s="3">
        <v>3</v>
      </c>
      <c r="AI5" s="3">
        <v>4</v>
      </c>
      <c r="AJ5" s="3">
        <v>4</v>
      </c>
      <c r="AK5" s="3">
        <v>4</v>
      </c>
      <c r="AL5" s="3">
        <v>4</v>
      </c>
      <c r="AM5" s="3">
        <v>4</v>
      </c>
      <c r="AN5" s="3">
        <v>4</v>
      </c>
      <c r="AO5" s="3">
        <v>4</v>
      </c>
      <c r="AP5" s="3">
        <v>5</v>
      </c>
      <c r="AQ5" s="5">
        <f t="shared" si="0"/>
        <v>3.935483870967742</v>
      </c>
      <c r="AR5" s="3" t="s">
        <v>76</v>
      </c>
      <c r="AS5" s="3" t="s">
        <v>80</v>
      </c>
      <c r="AT5" s="3" t="s">
        <v>84</v>
      </c>
      <c r="AU5" s="3" t="s">
        <v>89</v>
      </c>
      <c r="AV5" s="3" t="s">
        <v>94</v>
      </c>
      <c r="AW5" s="3" t="s">
        <v>97</v>
      </c>
      <c r="AX5" s="3" t="s">
        <v>101</v>
      </c>
      <c r="AY5" s="3" t="s">
        <v>106</v>
      </c>
    </row>
    <row r="6" spans="1:51" s="6" customFormat="1" x14ac:dyDescent="0.25">
      <c r="A6" s="2">
        <v>22</v>
      </c>
      <c r="B6" s="3" t="s">
        <v>51</v>
      </c>
      <c r="C6" s="2" t="s">
        <v>53</v>
      </c>
      <c r="D6" s="2" t="s">
        <v>54</v>
      </c>
      <c r="E6" s="2" t="s">
        <v>59</v>
      </c>
      <c r="F6" s="2" t="s">
        <v>62</v>
      </c>
      <c r="G6" s="2" t="s">
        <v>65</v>
      </c>
      <c r="H6" s="2" t="s">
        <v>67</v>
      </c>
      <c r="I6" s="12">
        <v>45674</v>
      </c>
      <c r="J6" s="2">
        <v>2025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3</v>
      </c>
      <c r="Q6" s="2">
        <v>3</v>
      </c>
      <c r="R6" s="2">
        <v>4</v>
      </c>
      <c r="S6" s="2">
        <v>4</v>
      </c>
      <c r="T6" s="2">
        <v>4</v>
      </c>
      <c r="U6" s="2">
        <v>4</v>
      </c>
      <c r="V6" s="2">
        <v>4</v>
      </c>
      <c r="W6" s="7"/>
      <c r="X6" s="2">
        <v>4</v>
      </c>
      <c r="Y6" s="2">
        <v>4</v>
      </c>
      <c r="Z6" s="2">
        <v>4</v>
      </c>
      <c r="AA6" s="2">
        <v>4</v>
      </c>
      <c r="AB6" s="2">
        <v>4</v>
      </c>
      <c r="AC6" s="2">
        <v>4</v>
      </c>
      <c r="AD6" s="2">
        <v>4</v>
      </c>
      <c r="AE6" s="2">
        <v>4</v>
      </c>
      <c r="AF6" s="2">
        <v>4</v>
      </c>
      <c r="AG6" s="2">
        <v>4</v>
      </c>
      <c r="AH6" s="2">
        <v>4</v>
      </c>
      <c r="AI6" s="2">
        <v>4</v>
      </c>
      <c r="AJ6" s="2">
        <v>4</v>
      </c>
      <c r="AK6" s="2">
        <v>4</v>
      </c>
      <c r="AL6" s="2">
        <v>4</v>
      </c>
      <c r="AM6" s="2">
        <v>4</v>
      </c>
      <c r="AN6" s="2">
        <v>4</v>
      </c>
      <c r="AO6" s="2">
        <v>4</v>
      </c>
      <c r="AP6" s="2">
        <v>4</v>
      </c>
      <c r="AQ6" s="8">
        <f t="shared" si="0"/>
        <v>3.935483870967742</v>
      </c>
      <c r="AR6" s="2" t="s">
        <v>77</v>
      </c>
      <c r="AS6" s="2" t="s">
        <v>81</v>
      </c>
      <c r="AT6" s="2" t="s">
        <v>85</v>
      </c>
      <c r="AU6" s="2" t="s">
        <v>90</v>
      </c>
      <c r="AV6" s="2" t="s">
        <v>95</v>
      </c>
      <c r="AW6" s="2" t="s">
        <v>97</v>
      </c>
      <c r="AX6" s="2" t="s">
        <v>102</v>
      </c>
      <c r="AY6" s="2" t="s">
        <v>107</v>
      </c>
    </row>
    <row r="7" spans="1:51" x14ac:dyDescent="0.25">
      <c r="A7" s="3">
        <v>23</v>
      </c>
      <c r="B7" s="16" t="s">
        <v>108</v>
      </c>
      <c r="C7" s="3" t="s">
        <v>109</v>
      </c>
      <c r="D7" s="3" t="s">
        <v>54</v>
      </c>
      <c r="E7" s="3" t="s">
        <v>110</v>
      </c>
      <c r="F7" s="3" t="s">
        <v>62</v>
      </c>
      <c r="G7" s="3" t="s">
        <v>65</v>
      </c>
      <c r="H7" s="3" t="s">
        <v>67</v>
      </c>
      <c r="I7" s="4">
        <v>46039</v>
      </c>
      <c r="J7" s="3">
        <v>2025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>
        <v>4</v>
      </c>
      <c r="Q7" s="3">
        <v>4</v>
      </c>
      <c r="R7" s="3">
        <v>4</v>
      </c>
      <c r="S7" s="3">
        <v>4</v>
      </c>
      <c r="T7" s="3">
        <v>4</v>
      </c>
      <c r="U7" s="3">
        <v>4</v>
      </c>
      <c r="V7" s="3">
        <v>4</v>
      </c>
      <c r="W7" s="3"/>
      <c r="X7" s="3">
        <v>4</v>
      </c>
      <c r="Y7" s="3">
        <v>4</v>
      </c>
      <c r="Z7" s="3">
        <v>4</v>
      </c>
      <c r="AA7" s="3">
        <v>4</v>
      </c>
      <c r="AB7" s="3">
        <v>4</v>
      </c>
      <c r="AC7" s="3">
        <v>4</v>
      </c>
      <c r="AD7" s="3">
        <v>4</v>
      </c>
      <c r="AE7" s="3">
        <v>4</v>
      </c>
      <c r="AF7" s="3">
        <v>4</v>
      </c>
      <c r="AG7" s="3">
        <v>4</v>
      </c>
      <c r="AH7" s="3">
        <v>4</v>
      </c>
      <c r="AI7" s="3">
        <v>4</v>
      </c>
      <c r="AJ7" s="3">
        <v>4</v>
      </c>
      <c r="AK7" s="3">
        <v>4</v>
      </c>
      <c r="AL7" s="3">
        <v>4</v>
      </c>
      <c r="AM7" s="3">
        <v>4</v>
      </c>
      <c r="AN7" s="3">
        <v>4</v>
      </c>
      <c r="AO7" s="3">
        <v>4</v>
      </c>
      <c r="AP7" s="3">
        <v>4</v>
      </c>
      <c r="AQ7" s="8">
        <f t="shared" si="0"/>
        <v>4</v>
      </c>
      <c r="AR7" s="3" t="s">
        <v>111</v>
      </c>
      <c r="AS7" s="3" t="s">
        <v>95</v>
      </c>
      <c r="AT7" s="3" t="s">
        <v>112</v>
      </c>
      <c r="AU7" s="3" t="s">
        <v>113</v>
      </c>
      <c r="AV7" s="3" t="s">
        <v>114</v>
      </c>
      <c r="AW7" s="3" t="s">
        <v>115</v>
      </c>
      <c r="AX7" s="3" t="s">
        <v>116</v>
      </c>
      <c r="AY7" s="3" t="s">
        <v>117</v>
      </c>
    </row>
    <row r="8" spans="1:51" x14ac:dyDescent="0.25">
      <c r="AQ8" s="9">
        <f>AVERAGE(AQ2:AQ7)</f>
        <v>3.9986559139784945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4B1B346CF14F4EBC050CC49F419EC7" ma:contentTypeVersion="0" ma:contentTypeDescription="Crear nuevo documento." ma:contentTypeScope="" ma:versionID="d96f13212589c5fe8c80290f5aac0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56b09c02ed9f1d227af818e81e9e97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FC3FA1-A421-49ED-A23A-6C9E849072D2}">
  <ds:schemaRefs>
    <ds:schemaRef ds:uri="http://schemas.microsoft.com/office/2006/metadata/properties"/>
    <ds:schemaRef ds:uri="http://schemas.microsoft.com/office/infopath/2007/PartnerControls"/>
    <ds:schemaRef ds:uri="00f54115-29ac-4d31-a00a-0376c21102e0"/>
    <ds:schemaRef ds:uri="5d98286c-7940-42e0-8ee4-15e117f0baea"/>
  </ds:schemaRefs>
</ds:datastoreItem>
</file>

<file path=customXml/itemProps2.xml><?xml version="1.0" encoding="utf-8"?>
<ds:datastoreItem xmlns:ds="http://schemas.openxmlformats.org/officeDocument/2006/customXml" ds:itemID="{8D77D081-3D6C-4EBA-94FC-5BC3C8ED5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C9D804A-9E5F-4644-8EF0-B75111C409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Alexandra Raches</dc:creator>
  <cp:keywords/>
  <dc:description/>
  <cp:lastModifiedBy>Daniela Rios</cp:lastModifiedBy>
  <cp:revision/>
  <dcterms:created xsi:type="dcterms:W3CDTF">2024-04-18T18:23:36Z</dcterms:created>
  <dcterms:modified xsi:type="dcterms:W3CDTF">2026-01-22T19:04:58Z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0x010100254B1B346CF14F4EBC050CC49F419EC7</vt:lpwstr>
  </property>
  <property fmtid="{D5CDD505-2E9C-101B-9397-08002B2CF9AE}" pid="3" name="MediaServiceImageTags">
    <vt:lpwstr/>
  </property>
  <property fmtid="{D5CDD505-2E9C-101B-9397-08002B2CF9AE}" pid="4" name="Order">
    <vt:r8>986600</vt:r8>
  </property>
</Properties>
</file>