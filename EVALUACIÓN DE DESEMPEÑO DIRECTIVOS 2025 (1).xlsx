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novaderma.sharepoint.com/sites/LaboratoriosNovaderma/gerencia/sgi/Documentos compartidos/RECURSOS HUMANOS/INDICADORES/INDICADORES 2025/TABULACION EVALUACIONES DE DESEMPEÑO/EVALUACIONES DE DESEMPEÑO 2025/"/>
    </mc:Choice>
  </mc:AlternateContent>
  <xr:revisionPtr revIDLastSave="442" documentId="8_{C974DF60-41B7-421A-8137-62A04A844E4D}" xr6:coauthVersionLast="47" xr6:coauthVersionMax="47" xr10:uidLastSave="{419D5825-4783-4CD2-8656-627BBF58F71B}"/>
  <bookViews>
    <workbookView xWindow="-120" yWindow="-120" windowWidth="20730" windowHeight="11160" xr2:uid="{C25EB002-C532-4813-BD49-41CAAD0E60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1" i="1" l="1"/>
  <c r="AU2" i="1"/>
  <c r="AU3" i="1"/>
  <c r="AU4" i="1"/>
  <c r="AU5" i="1"/>
  <c r="AU6" i="1"/>
  <c r="AU7" i="1"/>
  <c r="AU8" i="1"/>
  <c r="AU9" i="1"/>
  <c r="AU10" i="1"/>
</calcChain>
</file>

<file path=xl/sharedStrings.xml><?xml version="1.0" encoding="utf-8"?>
<sst xmlns="http://schemas.openxmlformats.org/spreadsheetml/2006/main" count="190" uniqueCount="169">
  <si>
    <t>Id</t>
  </si>
  <si>
    <t>Hora de inicio</t>
  </si>
  <si>
    <t>Hora de finalización</t>
  </si>
  <si>
    <t>Correo electrónico</t>
  </si>
  <si>
    <t>Nombre1</t>
  </si>
  <si>
    <t>Cargo</t>
  </si>
  <si>
    <t>Área</t>
  </si>
  <si>
    <t>Nombre del Jefe inmediato</t>
  </si>
  <si>
    <t>Fecha</t>
  </si>
  <si>
    <t>Periodo de Evaluación</t>
  </si>
  <si>
    <t>Capacidad que tiene el trabajador para desempeñar de forma exitosa los procesos y tareas del trabajo contratado..Domina las técnicas y prácticas de las tareas del cargo y de su área</t>
  </si>
  <si>
    <t>Capacidad que tiene el trabajador para desempeñar de forma exitosa los procesos y tareas del trabajo contratado..Organiza las actividades a fin de cumplir en los tiempos requeridos</t>
  </si>
  <si>
    <t>Capacidad que tiene el trabajador para desempeñar de forma exitosa los procesos y tareas del trabajo contratado..Cumple con los resultados esperados de su función y los concernientes al área que dirig</t>
  </si>
  <si>
    <t>Capacidad que tiene el trabajador para desempeñar de forma exitosa los procesos y tareas del trabajo contratado..Dirige y controla eficazmente a las personas de su grupo de trabajo</t>
  </si>
  <si>
    <t>Capacidad que tiene el trabajador para desempeñar de forma exitosa los procesos y tareas del trabajo contratado..Gestiona eficientemente los recursos del área</t>
  </si>
  <si>
    <t>Capacidad que tiene el trabajador para desempeñar de forma exitosa los procesos y tareas del trabajo contratado..Plantea soluciones estratégicas a fin de solucionar o mejorar el trabajo</t>
  </si>
  <si>
    <t>Capacidad que tiene el trabajador para desempeñar de forma exitosa los procesos y tareas del trabajo contratado..Mantiene comunicación efectiva con el grupo de trabajo</t>
  </si>
  <si>
    <t>Capacidad que tiene el trabajador para desempeñar de forma exitosa los procesos y tareas del trabajo contratado..Mantiene comunicación efectiva con su jefe inmediato</t>
  </si>
  <si>
    <t>Capacidad que tiene el trabajador para desempeñar de forma exitosa los procesos y tareas del trabajo contratado..Mide, evalúa y analiza los resultados obtenidos por el grupo de trabajo</t>
  </si>
  <si>
    <t>Capacidad que tiene el trabajador para desempeñar de forma exitosa los procesos y tareas del trabajo contratado..Aplica los conceptos vistos en capacitación y entrenamiento realizados</t>
  </si>
  <si>
    <t>Capacidad que tiene el trabajador para desempeñar de forma exitosa los procesos y tareas del trabajo contratado..Identifica, evalúa y gestiona los riesgos asociados al área que maneja  </t>
  </si>
  <si>
    <t>Capacidad que tiene el trabajador para desempeñar de forma exitosa los procesos y tareas del trabajo contratado..Gestiona con planes de formación o planes de mejora  del desempeño del grupo de trabajo</t>
  </si>
  <si>
    <t>Capacidad que tiene el trabajador para desempeñar de forma exitosa los procesos y tareas del trabajo contratado..Propone ideas y nuevas alternativas a fin de garantizar la continuidad del negocio y el</t>
  </si>
  <si>
    <t>COMPROMISO.Demuestra compromiso con el cumplimiento de los objetivos  y las metas de LABORATORIOS NOVADERMA S.A y de su área de trabajo</t>
  </si>
  <si>
    <t>COMPROMISO.Actúa en pro de los intereses de la empresa y del bienestar general</t>
  </si>
  <si>
    <t>COMPROMISO.Cumple con las políticas, leyes, reglamentos, procedimientos, normas y horarios aplicables.</t>
  </si>
  <si>
    <t>COMPROMISO.Mantiene confidencialidad con la información y datos que almacena</t>
  </si>
  <si>
    <t>COMPROMISO.Es respetuoso del conducto regular para pedir permisos,  comunicar ausentismos y hacer reclamos y peticiones.</t>
  </si>
  <si>
    <t>CALIDAD Y MEJORAMIENTO CONTINUO.Conoce, entiende y aplica la política de calidad de LABORATORIOS NOVADERMA SA</t>
  </si>
  <si>
    <t>CALIDAD Y MEJORAMIENTO CONTINUO.Propone alternativas para mejorar el trabajo, aportando ideas constructivas y recomendaciones</t>
  </si>
  <si>
    <t>LEALTAD.Demuestra veracidad en su actuar y en la información suministrada de su área de trabajo</t>
  </si>
  <si>
    <t>LEALTAD.Es respetuoso con los bienes entregados y con los que son de uso común</t>
  </si>
  <si>
    <t>SEGURIDAD Y SALUD EN EL TRABAJO.Demuestra compromiso con el cumplimiento de La política y objetivos de seguridad y salud en el trabajo establecidos por LABORATORIOS NOVADERMA S.A y de su área de traba</t>
  </si>
  <si>
    <t>SEGURIDAD Y SALUD EN EL TRABAJO.Actúa en pro del cuidado personal, previniendo actos inseguros que puedan ocasionar enfermedades laborales o accidentes de trabajo</t>
  </si>
  <si>
    <t>SEGURIDAD Y SALUD EN EL TRABAJO.Participa activamente de las actividades y programas establecidos por la empresa para mejorar la seguridad y salud en el trabajo</t>
  </si>
  <si>
    <t>ACTITUD DE SERVICIO.Se preocupa por satisfacer las necesidades del cliente interno y externo</t>
  </si>
  <si>
    <t>ORIENTACIÓN AL LOGRO.Se preocupa por trabajar bien y por lograr la meta propuesta</t>
  </si>
  <si>
    <t>COMUNICACIÓN.Tiene capacidad de comunicarse de forma asertiva con sus jefes y compañeros de trabajo</t>
  </si>
  <si>
    <t>RELACIONES INTERPERSONALES.Mantiene relaciones de cordialidad con clientes, jefes y compañeros de trabajo</t>
  </si>
  <si>
    <t>TRABAJO EN EQUIPO.Apoya a los compañeros para la solución de problemas y el logro de objetivos</t>
  </si>
  <si>
    <t>ADAPTACIÓN AL CAMBIO.Capacidad de adaptarse a los cambios y proponer nuevas alternativas para el logro de objetivos</t>
  </si>
  <si>
    <t>Que aportes hizo usted para el cumplimiento de los objetivos de su área?</t>
  </si>
  <si>
    <t>En qué aspectos o situaciones considera Ud. que puede mejorar en el próximo periodo?</t>
  </si>
  <si>
    <t>En qué aspecto siente que tiene una debilidad para cumplir con los objetivos trazados en que su jefe inmediato pueda orientarlo?</t>
  </si>
  <si>
    <t>Qué objetivos individuales o logros considera que alcanzó durante este año?</t>
  </si>
  <si>
    <t>Qué objetivos espera superar en el próximo periodo?</t>
  </si>
  <si>
    <t>% Promedio de cumplimiento en los objetivos del cargo</t>
  </si>
  <si>
    <t>Comentarios del jefe inmediato (fortalezas y Debilidades)</t>
  </si>
  <si>
    <t>Plan de mejora Propuesto</t>
  </si>
  <si>
    <t>PORCENTAJE</t>
  </si>
  <si>
    <t>12/17/25 11:00:15</t>
  </si>
  <si>
    <t>12/17/25 15:23:29</t>
  </si>
  <si>
    <t>12/17/25 15:00:24</t>
  </si>
  <si>
    <t>12/19/25 10:20:58</t>
  </si>
  <si>
    <t>12/19/25 15:03:10</t>
  </si>
  <si>
    <t>1/17/26 11:35:26</t>
  </si>
  <si>
    <t>1/17/26 12:07:10</t>
  </si>
  <si>
    <t>1/19/26 7:46:47</t>
  </si>
  <si>
    <t>1/19/26 8:13:14</t>
  </si>
  <si>
    <t>12/17/25 11:24:44</t>
  </si>
  <si>
    <t>12/17/25 15:46:55</t>
  </si>
  <si>
    <t>12/17/25 16:18:59</t>
  </si>
  <si>
    <t>12/19/25 10:26:50</t>
  </si>
  <si>
    <t>12/19/25 15:13:33</t>
  </si>
  <si>
    <t>1/17/26 12:06:20</t>
  </si>
  <si>
    <t>1/17/26 12:20:22</t>
  </si>
  <si>
    <t>1/19/26 8:12:48</t>
  </si>
  <si>
    <t>1/19/26 8:26:49</t>
  </si>
  <si>
    <t>anónimo</t>
  </si>
  <si>
    <t xml:space="preserve">Wilson </t>
  </si>
  <si>
    <t xml:space="preserve">Katherine Quintana Rueda </t>
  </si>
  <si>
    <t xml:space="preserve">Valeria echavarría </t>
  </si>
  <si>
    <t>ANA MARIA DOMINGUEZ SILVA</t>
  </si>
  <si>
    <t>Claudia Rojas</t>
  </si>
  <si>
    <t>VALERIA ECHAVARRIA BEDOYA</t>
  </si>
  <si>
    <t>GERMAN TORRES GAITAN</t>
  </si>
  <si>
    <t>KATHERINE QUINTANA RUEDA</t>
  </si>
  <si>
    <t>Gerente de Distrito Bogota</t>
  </si>
  <si>
    <t>Gerente de Distrito</t>
  </si>
  <si>
    <t xml:space="preserve">Gerente de distrito </t>
  </si>
  <si>
    <t xml:space="preserve">GERENTE REGIONAL </t>
  </si>
  <si>
    <t>Gerencia de Producto</t>
  </si>
  <si>
    <t>GERENTE DISTRITO MEDELLIN</t>
  </si>
  <si>
    <t>GERENTE DISTRITO CALI</t>
  </si>
  <si>
    <t>GERENTE DISTRITO BUCARAMANGA</t>
  </si>
  <si>
    <t>GERENTE DISTRITO EJE CAFETERO</t>
  </si>
  <si>
    <t>Ventas</t>
  </si>
  <si>
    <t>Comercial</t>
  </si>
  <si>
    <t xml:space="preserve">Comercial </t>
  </si>
  <si>
    <t xml:space="preserve">COMERCIAL </t>
  </si>
  <si>
    <t>Mercadeo</t>
  </si>
  <si>
    <t>COMERCIAL</t>
  </si>
  <si>
    <t>Mauricio Martinelli</t>
  </si>
  <si>
    <t xml:space="preserve">Mauricio Martinelli </t>
  </si>
  <si>
    <t xml:space="preserve">Mauricio Martínelli </t>
  </si>
  <si>
    <t>MAURICIO MARTINELLI SANCHEZ</t>
  </si>
  <si>
    <t>Sandra Forero</t>
  </si>
  <si>
    <t>MAURICIO MARTINELLI</t>
  </si>
  <si>
    <t>DICIEMBRE 20 - 25</t>
  </si>
  <si>
    <t>17/01/206</t>
  </si>
  <si>
    <t>Año 2025</t>
  </si>
  <si>
    <t>ENERO - DICIEMBRE DEL 2025</t>
  </si>
  <si>
    <t>AÑO 2025</t>
  </si>
  <si>
    <t>SEGURIDAD Y SALUD EN EL TRABAJO.Demuestra con sus acciones en la vía pública compromiso con el cumplimiento de las directrices del Plan estratégico de seguridad vial?</t>
  </si>
  <si>
    <t xml:space="preserve">ÉTICA Y RESPONSABILIDAD SOCIAL EMPRESARIAL.Mantiene la confidencialidad con la información y datos que almacena cumpliendo la política de protección de datos </t>
  </si>
  <si>
    <t>ÉTICA Y RESPONSABILIDAD SOCIAL EMPRESARIAL.Promueve un ambiente de trabajo sano, respetuoso y libre de discriminación.</t>
  </si>
  <si>
    <t>ÉTICA Y RESPONSABILIDAD SOCIAL EMPRESARIAL.Con sus acciones contribuye a disminuir el cambio climático</t>
  </si>
  <si>
    <t>ÉTICA Y RESPONSABILIDAD SOCIAL EMPRESARIAL.Se asegura de dar cumplimiento a los procedimientos de ética establecidos por la organización</t>
  </si>
  <si>
    <t>Empoderar al equipo acargo</t>
  </si>
  <si>
    <t xml:space="preserve">Siendo una persona proactiva , alcanzando las metas y objetivos, estando en mejora continua para tener un buen resultado </t>
  </si>
  <si>
    <t xml:space="preserve">Tener una buena relación con los clientes, para el cumplimiento de la cuota, estar en médicos importantes para generar la formulación en zona vanate, hacer análisis de médicos formuladores y crecimiento en los.clientes principales </t>
  </si>
  <si>
    <t>REALIZAR MAYOR ANALISIS DE TODAS LAS VARIABLES QUE PUDIERAN AFECTAR EL DESEMPEÑO COMERCIAL PARA LOGRAR SOLVENTAR EL INICIO DEL PRIMER TRIMESTRE Y PODER CRECER EN EL AREA COMERCIAL, CUMPLIR A CABALIDAD LOS OBJETIVOS MES A MES,</t>
  </si>
  <si>
    <t>Innovacion</t>
  </si>
  <si>
    <t>EL ESTAR REALIZANDO VISITAS Y SEGUIMIENTO A LOS CLIENTES  PARA PODER CUMPLIR  CON LA CUOTA</t>
  </si>
  <si>
    <t>LA BUENA OPTIMIZACION  DE LOS PROCESOS</t>
  </si>
  <si>
    <t xml:space="preserve">LA PLANEACION Y CONTACTO CONTINUO CON LOS CLIENTES </t>
  </si>
  <si>
    <t>LA PLANEACION EJECUCION DE ESTRATEGIAS DE VENTA</t>
  </si>
  <si>
    <t xml:space="preserve">paneles Medicos y atentos a la distribucion </t>
  </si>
  <si>
    <t xml:space="preserve">mejorar los plazos de entrega de lo solicitado, mejorando mi capacitación continua y haciendo un mejor análisis de datos </t>
  </si>
  <si>
    <t xml:space="preserve">Analizar a profundidad las ventas de clientes, hacer que mi equipo de trabajo permanezca más tiempo, liderando y dando ejemplo. </t>
  </si>
  <si>
    <t>TENER UNA VISION 360 Y REALIZAR MAS ANALISIS A TIEMPO PARA GENERAR ESTRATAEGIAS NUEVAS</t>
  </si>
  <si>
    <t>Mejorar adaptación a la cultura organizacional</t>
  </si>
  <si>
    <t>FOMENTANDO UN  AMBIENTE DE TRABAJO POSITIVO PARA CUMPLIR LAS METAS</t>
  </si>
  <si>
    <t xml:space="preserve">FOMENTAR EL TRABAJO  EN  </t>
  </si>
  <si>
    <t>ASIGNAR TAREAS  PARA EMPODERAR EL EQUIPO Y OPTIMIZAR EL TIEMPO PROPIO</t>
  </si>
  <si>
    <t>PRIORIZAR TAREAS JUNTO CON EL EQUIPO DE TRABAJO</t>
  </si>
  <si>
    <t>Educacion medica</t>
  </si>
  <si>
    <t xml:space="preserve">entrega de informes  diarios y planes en los tiempos establecidos. </t>
  </si>
  <si>
    <t xml:space="preserve">Siempre me ha orientado y me ha ayudado en mis aspectos, sin embargo debo de mejorar en debilidad de ser más disciplinada para tener un mejor equipo de trabajo  </t>
  </si>
  <si>
    <t xml:space="preserve">ME GUSTARIA MEJORAR MAS EN LAS NEGOCIACIONES CON GRANDES </t>
  </si>
  <si>
    <t>Guía en procesos de ejecución</t>
  </si>
  <si>
    <t>TENER  MAS COLABORACION DEL EQUIPO DE TRABAJO PARA ALINEACIONDE TAREAS</t>
  </si>
  <si>
    <t>SEGUIR TENIENDO SEGUIMENTO CON LOS CLIENTES PARA  LOGRAR CUMPLIR CON LA CUOTA</t>
  </si>
  <si>
    <t>EN TENER MAS COLABORACION  DEL EQUIPO</t>
  </si>
  <si>
    <t>TENER COMUNICACION Y EMPATIA CON EL EQUIPO DE TRABAJO</t>
  </si>
  <si>
    <t>Pasar el periodo de prueba</t>
  </si>
  <si>
    <t xml:space="preserve">Adaptabilidad a los cambios que se presentaron durante el año, también comunicación y colaboración con mi equipo de trabajo mejorando mi liderazgo. </t>
  </si>
  <si>
    <t xml:space="preserve">Crecimiento en mi regional. </t>
  </si>
  <si>
    <t>CRECI PROFESIONALEMENE PORQUE APRENDI A MANEJAR EVENTOS NUEVOS, CRECI ECONOMICAMENTE</t>
  </si>
  <si>
    <t>Crecimiento personal y laboral</t>
  </si>
  <si>
    <t>BUEN DESEMPEÑO EN EL TRABAJO Y COLABORACION PARA CUMPLIR CON LAS METAS ESTABLECIDAS</t>
  </si>
  <si>
    <t>SEGUIR CON EL BUEN DESEMPEÑO CON EL EQUIPO DE TRABAJO PARA ASEGURAR EL CUMPLIMIENTO DE METAS Y VENTAS</t>
  </si>
  <si>
    <t>BUEN DESEMPEÑO EN EL TRABAJO PARA CUMPLIR METAS  ESTABLECIDAS</t>
  </si>
  <si>
    <t>EL ESTAR EN CONTACTO DIRECTO  CON CLIENTES Y MEDICOS FUE EL LOGRO DE LAS METAS ESTABLECIDAS</t>
  </si>
  <si>
    <t xml:space="preserve">mejorar acercamiento con medicos lidere de opinion </t>
  </si>
  <si>
    <t xml:space="preserve">Conocimiento, cumplir con los objetivos y mestas propuestas </t>
  </si>
  <si>
    <t>Tener un equipo de trabajo bien entenado, que cumplas las objetivos y que sea duradero</t>
  </si>
  <si>
    <t xml:space="preserve">LOGRAR CUMPLIS EL OBJETIVO COMERCIAL MES A MES Y CRECER A DOS DIGITOS LA REGIONAL </t>
  </si>
  <si>
    <t xml:space="preserve">Continuidad </t>
  </si>
  <si>
    <t>TENER LIDERAZGO  CON EL FIN QUE CON EL EQUIPO DE TRABAJO SE LOGRE LLEGAR  A LA CUOTA ESTABLECIDA</t>
  </si>
  <si>
    <t>RESPONDER EFICAZMENTE A CAMBIOS E INCERTIDUMBRES  DEL MERCADO</t>
  </si>
  <si>
    <t xml:space="preserve">SEGUIR  ASEGURANDO EL CUMPLIMIENTO DE LAS METAS </t>
  </si>
  <si>
    <t>SEGUIR ASEGURANDO EL CUMPLIMIENTO DE LAS METAS</t>
  </si>
  <si>
    <t>un hombre pausado y concreto</t>
  </si>
  <si>
    <t xml:space="preserve">fortaleza: compromiso y responsabilidad con los objetivos y metas, debilidad: entrega de informe en los plazos requeridos </t>
  </si>
  <si>
    <t>R/</t>
  </si>
  <si>
    <t>Orientada a logros / dificultad para adaptarse a la cultura organizacional</t>
  </si>
  <si>
    <t xml:space="preserve">ES MUY COMPROMETIDA Y  LEAL  </t>
  </si>
  <si>
    <t>ES COMPROMETIDA Y LEAL</t>
  </si>
  <si>
    <t>ES UNA PERSONA LEAL FIEL COMPROMETIDO</t>
  </si>
  <si>
    <t>ES MUY EMPRENDEDORA COMPROMETIDA LEAL FIEL</t>
  </si>
  <si>
    <t>estiudio del portafolio</t>
  </si>
  <si>
    <t xml:space="preserve">Mejor análisis de datos, cumplimiento en entrega de informes y capacitación continua. </t>
  </si>
  <si>
    <t xml:space="preserve">Ser más disciplinada, dar ejemplo para tener una mejor ejecución </t>
  </si>
  <si>
    <t>Mayor trabajo en habilidades blandas</t>
  </si>
  <si>
    <t>TENER CONTACTO CONSTANTE CON LOS CLIENTESY MEDICOS QUE FORMULAN PARA ASI  LOGRAR LLEGAR A LA CUOTA</t>
  </si>
  <si>
    <t>ESTAR EN CONSTANTE ACERCAMIENTO CON CLIENTES Y MEDICOS EN PRO DE CUMPLIR LA CUOTA</t>
  </si>
  <si>
    <t>PODER SEGUIR EN CONTACTO CONTINUO CON CLIENTES  Y MEDICOS PARA LOGRAR LOS OBJETIVOS EN LA CUOTA</t>
  </si>
  <si>
    <t xml:space="preserve">MEJORAR EN LA PARTE ADMINISTRATIVA  EN EL ENVIO DE LOS DOCUMENTOS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</si>
</sst>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3" borderId="0" xfId="0" applyFont="1" applyFill="1" applyAlignment="1">
      <alignment horizontal="center"/>
    </xf>
    <xf numFmtId="14" fontId="2" fillId="3" borderId="0" xfId="0" applyNumberFormat="1" applyFont="1" applyFill="1"/>
    <xf numFmtId="15" fontId="2" fillId="0" borderId="0" xfId="0" applyNumberFormat="1" applyFont="1"/>
    <xf numFmtId="15" fontId="2" fillId="3" borderId="0" xfId="0" applyNumberFormat="1" applyFont="1" applyFill="1"/>
    <xf numFmtId="14" fontId="2" fillId="0" borderId="0" xfId="0" applyNumberFormat="1" applyFont="1"/>
    <xf numFmtId="16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9" fontId="2" fillId="3" borderId="0" xfId="0" applyNumberFormat="1" applyFont="1" applyFill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8BB2-A4DD-4973-AEDB-05ABA4CABCAD}">
  <dimension ref="A1:BC11"/>
  <sheetViews>
    <sheetView tabSelected="1" workbookViewId="0">
      <selection activeCell="BC11" sqref="BC11"/>
    </sheetView>
  </sheetViews>
  <sheetFormatPr baseColWidth="10" defaultRowHeight="15" x14ac:dyDescent="0.25"/>
  <cols>
    <col min="9" max="10" width="11.42578125" customWidth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49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</row>
    <row r="2" spans="1:55" x14ac:dyDescent="0.25">
      <c r="A2" s="2">
        <v>22</v>
      </c>
      <c r="B2" s="2" t="s">
        <v>50</v>
      </c>
      <c r="C2" s="2" t="s">
        <v>59</v>
      </c>
      <c r="D2" s="2" t="s">
        <v>68</v>
      </c>
      <c r="E2" s="2" t="s">
        <v>69</v>
      </c>
      <c r="F2" s="2" t="s">
        <v>77</v>
      </c>
      <c r="G2" s="2" t="s">
        <v>86</v>
      </c>
      <c r="H2" s="2" t="s">
        <v>92</v>
      </c>
      <c r="I2" s="5">
        <v>46008</v>
      </c>
      <c r="J2" s="2" t="s">
        <v>100</v>
      </c>
      <c r="K2" s="2">
        <v>4</v>
      </c>
      <c r="L2" s="2">
        <v>4</v>
      </c>
      <c r="M2" s="2">
        <v>4</v>
      </c>
      <c r="N2" s="2">
        <v>4</v>
      </c>
      <c r="O2" s="2">
        <v>4</v>
      </c>
      <c r="P2" s="2">
        <v>4</v>
      </c>
      <c r="Q2" s="2">
        <v>4</v>
      </c>
      <c r="R2" s="2">
        <v>4</v>
      </c>
      <c r="S2" s="2">
        <v>4</v>
      </c>
      <c r="T2" s="2">
        <v>4</v>
      </c>
      <c r="U2" s="2">
        <v>4</v>
      </c>
      <c r="V2" s="2">
        <v>4</v>
      </c>
      <c r="W2" s="2">
        <v>4</v>
      </c>
      <c r="X2" s="2">
        <v>4</v>
      </c>
      <c r="Y2" s="2">
        <v>4</v>
      </c>
      <c r="Z2" s="2">
        <v>4</v>
      </c>
      <c r="AA2" s="2">
        <v>4</v>
      </c>
      <c r="AB2" s="2">
        <v>4</v>
      </c>
      <c r="AC2" s="2">
        <v>4</v>
      </c>
      <c r="AD2" s="2">
        <v>4</v>
      </c>
      <c r="AE2" s="2">
        <v>5</v>
      </c>
      <c r="AF2" s="2">
        <v>5</v>
      </c>
      <c r="AG2" s="2">
        <v>4</v>
      </c>
      <c r="AH2" s="2">
        <v>4</v>
      </c>
      <c r="AI2" s="2">
        <v>4</v>
      </c>
      <c r="AJ2" s="2">
        <v>4</v>
      </c>
      <c r="AK2" s="2">
        <v>4</v>
      </c>
      <c r="AL2" s="2">
        <v>4</v>
      </c>
      <c r="AM2" s="2">
        <v>4</v>
      </c>
      <c r="AN2" s="2">
        <v>4</v>
      </c>
      <c r="AO2" s="2">
        <v>4</v>
      </c>
      <c r="AP2" s="2">
        <v>4</v>
      </c>
      <c r="AQ2" s="2">
        <v>4</v>
      </c>
      <c r="AR2" s="2">
        <v>4</v>
      </c>
      <c r="AS2" s="2">
        <v>4</v>
      </c>
      <c r="AT2" s="2">
        <v>4</v>
      </c>
      <c r="AU2" s="10">
        <f>AVERAGE(K2:AT2)</f>
        <v>4.0555555555555554</v>
      </c>
      <c r="AV2" s="2" t="s">
        <v>108</v>
      </c>
      <c r="AW2" s="2" t="s">
        <v>117</v>
      </c>
      <c r="AX2" s="2" t="s">
        <v>126</v>
      </c>
      <c r="AY2" s="2" t="s">
        <v>135</v>
      </c>
      <c r="AZ2" s="2" t="s">
        <v>144</v>
      </c>
      <c r="BA2" s="11">
        <v>0.9</v>
      </c>
      <c r="BB2" s="2" t="s">
        <v>153</v>
      </c>
      <c r="BC2" s="2" t="s">
        <v>161</v>
      </c>
    </row>
    <row r="3" spans="1:55" x14ac:dyDescent="0.25">
      <c r="A3" s="3">
        <v>23</v>
      </c>
      <c r="B3" s="3" t="s">
        <v>51</v>
      </c>
      <c r="C3" s="3" t="s">
        <v>60</v>
      </c>
      <c r="D3" s="3" t="s">
        <v>68</v>
      </c>
      <c r="E3" s="3" t="s">
        <v>70</v>
      </c>
      <c r="F3" s="3" t="s">
        <v>78</v>
      </c>
      <c r="G3" s="3" t="s">
        <v>87</v>
      </c>
      <c r="H3" s="3" t="s">
        <v>93</v>
      </c>
      <c r="I3" s="6">
        <v>46008</v>
      </c>
      <c r="J3" s="3" t="s">
        <v>100</v>
      </c>
      <c r="K3" s="3">
        <v>4</v>
      </c>
      <c r="L3" s="3">
        <v>4</v>
      </c>
      <c r="M3" s="3">
        <v>5</v>
      </c>
      <c r="N3" s="3">
        <v>5</v>
      </c>
      <c r="O3" s="3">
        <v>5</v>
      </c>
      <c r="P3" s="3">
        <v>5</v>
      </c>
      <c r="Q3" s="3">
        <v>5</v>
      </c>
      <c r="R3" s="3">
        <v>5</v>
      </c>
      <c r="S3" s="3">
        <v>4</v>
      </c>
      <c r="T3" s="3">
        <v>4</v>
      </c>
      <c r="U3" s="3">
        <v>4</v>
      </c>
      <c r="V3" s="3">
        <v>4</v>
      </c>
      <c r="W3" s="3">
        <v>5</v>
      </c>
      <c r="X3" s="3">
        <v>5</v>
      </c>
      <c r="Y3" s="3">
        <v>5</v>
      </c>
      <c r="Z3" s="3">
        <v>5</v>
      </c>
      <c r="AA3" s="3">
        <v>5</v>
      </c>
      <c r="AB3" s="3">
        <v>5</v>
      </c>
      <c r="AC3" s="3">
        <v>5</v>
      </c>
      <c r="AD3" s="3">
        <v>4</v>
      </c>
      <c r="AE3" s="3">
        <v>5</v>
      </c>
      <c r="AF3" s="3">
        <v>5</v>
      </c>
      <c r="AG3" s="3">
        <v>4</v>
      </c>
      <c r="AH3" s="3">
        <v>4</v>
      </c>
      <c r="AI3" s="3">
        <v>4</v>
      </c>
      <c r="AJ3" s="3">
        <v>4</v>
      </c>
      <c r="AK3" s="3">
        <v>5</v>
      </c>
      <c r="AL3" s="3">
        <v>5</v>
      </c>
      <c r="AM3" s="3">
        <v>5</v>
      </c>
      <c r="AN3" s="3">
        <v>5</v>
      </c>
      <c r="AO3" s="3">
        <v>5</v>
      </c>
      <c r="AP3" s="3">
        <v>5</v>
      </c>
      <c r="AQ3" s="3">
        <v>4</v>
      </c>
      <c r="AR3" s="3">
        <v>5</v>
      </c>
      <c r="AS3" s="3">
        <v>5</v>
      </c>
      <c r="AT3" s="3">
        <v>5</v>
      </c>
      <c r="AU3" s="10">
        <f t="shared" ref="AU3:AU10" si="0">AVERAGE(K3:AT3)</f>
        <v>4.666666666666667</v>
      </c>
      <c r="AV3" s="3" t="s">
        <v>109</v>
      </c>
      <c r="AW3" s="3" t="s">
        <v>118</v>
      </c>
      <c r="AX3" s="3" t="s">
        <v>127</v>
      </c>
      <c r="AY3" s="3" t="s">
        <v>136</v>
      </c>
      <c r="AZ3" s="3" t="s">
        <v>145</v>
      </c>
      <c r="BA3" s="12">
        <v>0.9</v>
      </c>
      <c r="BB3" s="3" t="s">
        <v>154</v>
      </c>
      <c r="BC3" s="3" t="s">
        <v>162</v>
      </c>
    </row>
    <row r="4" spans="1:55" x14ac:dyDescent="0.25">
      <c r="A4" s="2">
        <v>24</v>
      </c>
      <c r="B4" s="2" t="s">
        <v>52</v>
      </c>
      <c r="C4" s="2" t="s">
        <v>61</v>
      </c>
      <c r="D4" s="2" t="s">
        <v>68</v>
      </c>
      <c r="E4" s="2" t="s">
        <v>71</v>
      </c>
      <c r="F4" s="2" t="s">
        <v>79</v>
      </c>
      <c r="G4" s="2" t="s">
        <v>88</v>
      </c>
      <c r="H4" s="2" t="s">
        <v>94</v>
      </c>
      <c r="I4" s="7">
        <v>46008</v>
      </c>
      <c r="J4" s="2" t="s">
        <v>100</v>
      </c>
      <c r="K4" s="2">
        <v>5</v>
      </c>
      <c r="L4" s="2">
        <v>5</v>
      </c>
      <c r="M4" s="2">
        <v>4</v>
      </c>
      <c r="N4" s="2">
        <v>3</v>
      </c>
      <c r="O4" s="2">
        <v>5</v>
      </c>
      <c r="P4" s="2">
        <v>4</v>
      </c>
      <c r="Q4" s="2">
        <v>3</v>
      </c>
      <c r="R4" s="2">
        <v>5</v>
      </c>
      <c r="S4" s="2">
        <v>4</v>
      </c>
      <c r="T4" s="2">
        <v>4</v>
      </c>
      <c r="U4" s="2">
        <v>4</v>
      </c>
      <c r="V4" s="2">
        <v>3</v>
      </c>
      <c r="W4" s="2">
        <v>4</v>
      </c>
      <c r="X4" s="2">
        <v>5</v>
      </c>
      <c r="Y4" s="2">
        <v>5</v>
      </c>
      <c r="Z4" s="2">
        <v>5</v>
      </c>
      <c r="AA4" s="2">
        <v>5</v>
      </c>
      <c r="AB4" s="2">
        <v>5</v>
      </c>
      <c r="AC4" s="2">
        <v>5</v>
      </c>
      <c r="AD4" s="2">
        <v>5</v>
      </c>
      <c r="AE4" s="2">
        <v>5</v>
      </c>
      <c r="AF4" s="2">
        <v>5</v>
      </c>
      <c r="AG4" s="2">
        <v>5</v>
      </c>
      <c r="AH4" s="2">
        <v>5</v>
      </c>
      <c r="AI4" s="2">
        <v>5</v>
      </c>
      <c r="AJ4" s="2">
        <v>5</v>
      </c>
      <c r="AK4" s="2">
        <v>5</v>
      </c>
      <c r="AL4" s="2">
        <v>5</v>
      </c>
      <c r="AM4" s="2">
        <v>5</v>
      </c>
      <c r="AN4" s="2">
        <v>5</v>
      </c>
      <c r="AO4" s="2">
        <v>5</v>
      </c>
      <c r="AP4" s="2">
        <v>5</v>
      </c>
      <c r="AQ4" s="2">
        <v>5</v>
      </c>
      <c r="AR4" s="2">
        <v>5</v>
      </c>
      <c r="AS4" s="2">
        <v>5</v>
      </c>
      <c r="AT4" s="2">
        <v>5</v>
      </c>
      <c r="AU4" s="10">
        <f t="shared" si="0"/>
        <v>4.666666666666667</v>
      </c>
      <c r="AV4" s="2" t="s">
        <v>110</v>
      </c>
      <c r="AW4" s="2" t="s">
        <v>119</v>
      </c>
      <c r="AX4" s="2" t="s">
        <v>128</v>
      </c>
      <c r="AY4" s="2" t="s">
        <v>137</v>
      </c>
      <c r="AZ4" s="2" t="s">
        <v>146</v>
      </c>
      <c r="BA4" s="11">
        <v>0.9</v>
      </c>
      <c r="BB4" s="2"/>
      <c r="BC4" s="2" t="s">
        <v>163</v>
      </c>
    </row>
    <row r="5" spans="1:55" x14ac:dyDescent="0.25">
      <c r="A5" s="3">
        <v>25</v>
      </c>
      <c r="B5" s="3" t="s">
        <v>53</v>
      </c>
      <c r="C5" s="3" t="s">
        <v>62</v>
      </c>
      <c r="D5" s="3" t="s">
        <v>68</v>
      </c>
      <c r="E5" s="3" t="s">
        <v>72</v>
      </c>
      <c r="F5" s="3" t="s">
        <v>80</v>
      </c>
      <c r="G5" s="3" t="s">
        <v>89</v>
      </c>
      <c r="H5" s="3" t="s">
        <v>95</v>
      </c>
      <c r="I5" s="3" t="s">
        <v>98</v>
      </c>
      <c r="J5" s="3" t="s">
        <v>101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4</v>
      </c>
      <c r="V5" s="3">
        <v>4</v>
      </c>
      <c r="W5" s="3">
        <v>4</v>
      </c>
      <c r="X5" s="3">
        <v>4</v>
      </c>
      <c r="Y5" s="3">
        <v>4</v>
      </c>
      <c r="Z5" s="3">
        <v>4</v>
      </c>
      <c r="AA5" s="3">
        <v>4</v>
      </c>
      <c r="AB5" s="3">
        <v>4</v>
      </c>
      <c r="AC5" s="3">
        <v>4</v>
      </c>
      <c r="AD5" s="3">
        <v>4</v>
      </c>
      <c r="AE5" s="3">
        <v>5</v>
      </c>
      <c r="AF5" s="3">
        <v>5</v>
      </c>
      <c r="AG5" s="3">
        <v>5</v>
      </c>
      <c r="AH5" s="3">
        <v>5</v>
      </c>
      <c r="AI5" s="3">
        <v>5</v>
      </c>
      <c r="AJ5" s="3">
        <v>5</v>
      </c>
      <c r="AK5" s="3">
        <v>5</v>
      </c>
      <c r="AL5" s="3">
        <v>5</v>
      </c>
      <c r="AM5" s="3">
        <v>5</v>
      </c>
      <c r="AN5" s="3">
        <v>5</v>
      </c>
      <c r="AO5" s="3">
        <v>4</v>
      </c>
      <c r="AP5" s="3">
        <v>4</v>
      </c>
      <c r="AQ5" s="3">
        <v>4</v>
      </c>
      <c r="AR5" s="3">
        <v>5</v>
      </c>
      <c r="AS5" s="3">
        <v>5</v>
      </c>
      <c r="AT5" s="3">
        <v>4</v>
      </c>
      <c r="AU5" s="10">
        <f t="shared" si="0"/>
        <v>4.333333333333333</v>
      </c>
      <c r="AV5" s="3" t="s">
        <v>111</v>
      </c>
      <c r="AW5" s="3" t="s">
        <v>120</v>
      </c>
      <c r="AX5" s="3" t="s">
        <v>129</v>
      </c>
      <c r="AY5" s="3" t="s">
        <v>138</v>
      </c>
      <c r="AZ5" s="3" t="s">
        <v>147</v>
      </c>
      <c r="BA5" s="12">
        <v>0.9</v>
      </c>
      <c r="BB5" s="3" t="s">
        <v>155</v>
      </c>
      <c r="BC5" s="3" t="s">
        <v>155</v>
      </c>
    </row>
    <row r="6" spans="1:55" x14ac:dyDescent="0.25">
      <c r="A6" s="2">
        <v>26</v>
      </c>
      <c r="B6" s="2" t="s">
        <v>54</v>
      </c>
      <c r="C6" s="2" t="s">
        <v>63</v>
      </c>
      <c r="D6" s="2" t="s">
        <v>68</v>
      </c>
      <c r="E6" s="2" t="s">
        <v>73</v>
      </c>
      <c r="F6" s="2" t="s">
        <v>81</v>
      </c>
      <c r="G6" s="2" t="s">
        <v>90</v>
      </c>
      <c r="H6" s="2" t="s">
        <v>96</v>
      </c>
      <c r="I6" s="5">
        <v>46010</v>
      </c>
      <c r="J6" s="2">
        <v>2025</v>
      </c>
      <c r="K6" s="2">
        <v>4</v>
      </c>
      <c r="L6" s="2">
        <v>4</v>
      </c>
      <c r="M6" s="2">
        <v>3</v>
      </c>
      <c r="N6" s="2">
        <v>3</v>
      </c>
      <c r="O6" s="2">
        <v>3</v>
      </c>
      <c r="P6" s="2">
        <v>4</v>
      </c>
      <c r="Q6" s="2">
        <v>4</v>
      </c>
      <c r="R6" s="2">
        <v>3</v>
      </c>
      <c r="S6" s="2">
        <v>3</v>
      </c>
      <c r="T6" s="2">
        <v>3</v>
      </c>
      <c r="U6" s="2">
        <v>4</v>
      </c>
      <c r="V6" s="2">
        <v>4</v>
      </c>
      <c r="W6" s="2">
        <v>5</v>
      </c>
      <c r="X6" s="2">
        <v>4</v>
      </c>
      <c r="Y6" s="2">
        <v>4</v>
      </c>
      <c r="Z6" s="2">
        <v>4</v>
      </c>
      <c r="AA6" s="2">
        <v>4</v>
      </c>
      <c r="AB6" s="2">
        <v>4</v>
      </c>
      <c r="AC6" s="2">
        <v>5</v>
      </c>
      <c r="AD6" s="2">
        <v>5</v>
      </c>
      <c r="AE6" s="2">
        <v>4</v>
      </c>
      <c r="AF6" s="2">
        <v>5</v>
      </c>
      <c r="AG6" s="2">
        <v>5</v>
      </c>
      <c r="AH6" s="2">
        <v>5</v>
      </c>
      <c r="AI6" s="2">
        <v>5</v>
      </c>
      <c r="AJ6" s="2">
        <v>5</v>
      </c>
      <c r="AK6" s="2">
        <v>4</v>
      </c>
      <c r="AL6" s="2">
        <v>4</v>
      </c>
      <c r="AM6" s="2">
        <v>5</v>
      </c>
      <c r="AN6" s="2">
        <v>4</v>
      </c>
      <c r="AO6" s="2">
        <v>4</v>
      </c>
      <c r="AP6" s="2">
        <v>4</v>
      </c>
      <c r="AQ6" s="2">
        <v>3</v>
      </c>
      <c r="AR6" s="2">
        <v>3</v>
      </c>
      <c r="AS6" s="2">
        <v>4</v>
      </c>
      <c r="AT6" s="2">
        <v>3</v>
      </c>
      <c r="AU6" s="4">
        <f t="shared" si="0"/>
        <v>4</v>
      </c>
      <c r="AV6" s="2" t="s">
        <v>112</v>
      </c>
      <c r="AW6" s="2" t="s">
        <v>121</v>
      </c>
      <c r="AX6" s="2" t="s">
        <v>130</v>
      </c>
      <c r="AY6" s="2" t="s">
        <v>139</v>
      </c>
      <c r="AZ6" s="2" t="s">
        <v>148</v>
      </c>
      <c r="BA6" s="11">
        <v>0.7</v>
      </c>
      <c r="BB6" s="2" t="s">
        <v>156</v>
      </c>
      <c r="BC6" s="2" t="s">
        <v>164</v>
      </c>
    </row>
    <row r="7" spans="1:55" x14ac:dyDescent="0.25">
      <c r="A7" s="3">
        <v>27</v>
      </c>
      <c r="B7" s="3" t="s">
        <v>55</v>
      </c>
      <c r="C7" s="3" t="s">
        <v>64</v>
      </c>
      <c r="D7" s="3" t="s">
        <v>68</v>
      </c>
      <c r="E7" s="3" t="s">
        <v>74</v>
      </c>
      <c r="F7" s="3" t="s">
        <v>82</v>
      </c>
      <c r="G7" s="3" t="s">
        <v>91</v>
      </c>
      <c r="H7" s="3" t="s">
        <v>95</v>
      </c>
      <c r="I7" s="3" t="s">
        <v>99</v>
      </c>
      <c r="J7" s="3" t="s">
        <v>102</v>
      </c>
      <c r="K7" s="3">
        <v>4</v>
      </c>
      <c r="L7" s="3">
        <v>4</v>
      </c>
      <c r="M7" s="3">
        <v>4</v>
      </c>
      <c r="N7" s="3">
        <v>4</v>
      </c>
      <c r="O7" s="3">
        <v>4</v>
      </c>
      <c r="P7" s="3">
        <v>4</v>
      </c>
      <c r="Q7" s="3">
        <v>4</v>
      </c>
      <c r="R7" s="3">
        <v>4</v>
      </c>
      <c r="S7" s="3">
        <v>4</v>
      </c>
      <c r="T7" s="3">
        <v>4</v>
      </c>
      <c r="U7" s="3">
        <v>4</v>
      </c>
      <c r="V7" s="3">
        <v>4</v>
      </c>
      <c r="W7" s="3">
        <v>4</v>
      </c>
      <c r="X7" s="3">
        <v>4</v>
      </c>
      <c r="Y7" s="3">
        <v>4</v>
      </c>
      <c r="Z7" s="3">
        <v>4</v>
      </c>
      <c r="AA7" s="3">
        <v>4</v>
      </c>
      <c r="AB7" s="3">
        <v>4</v>
      </c>
      <c r="AC7" s="3">
        <v>4</v>
      </c>
      <c r="AD7" s="3">
        <v>4</v>
      </c>
      <c r="AE7" s="3">
        <v>4</v>
      </c>
      <c r="AF7" s="3">
        <v>4</v>
      </c>
      <c r="AG7" s="3">
        <v>4</v>
      </c>
      <c r="AH7" s="3">
        <v>4</v>
      </c>
      <c r="AI7" s="3">
        <v>4</v>
      </c>
      <c r="AJ7" s="3">
        <v>4</v>
      </c>
      <c r="AK7" s="3">
        <v>4</v>
      </c>
      <c r="AL7" s="3">
        <v>4</v>
      </c>
      <c r="AM7" s="3">
        <v>4</v>
      </c>
      <c r="AN7" s="3">
        <v>4</v>
      </c>
      <c r="AO7" s="3">
        <v>4</v>
      </c>
      <c r="AP7" s="3">
        <v>4</v>
      </c>
      <c r="AQ7" s="3">
        <v>4</v>
      </c>
      <c r="AR7" s="3">
        <v>4</v>
      </c>
      <c r="AS7" s="3">
        <v>4</v>
      </c>
      <c r="AT7" s="3">
        <v>4</v>
      </c>
      <c r="AU7" s="4">
        <f t="shared" si="0"/>
        <v>4</v>
      </c>
      <c r="AV7" s="3" t="s">
        <v>113</v>
      </c>
      <c r="AW7" s="3" t="s">
        <v>122</v>
      </c>
      <c r="AX7" s="3" t="s">
        <v>131</v>
      </c>
      <c r="AY7" s="3" t="s">
        <v>140</v>
      </c>
      <c r="AZ7" s="3" t="s">
        <v>149</v>
      </c>
      <c r="BA7" s="12">
        <v>0.95</v>
      </c>
      <c r="BB7" s="3" t="s">
        <v>157</v>
      </c>
      <c r="BC7" s="3" t="s">
        <v>165</v>
      </c>
    </row>
    <row r="8" spans="1:55" x14ac:dyDescent="0.25">
      <c r="A8" s="2">
        <v>28</v>
      </c>
      <c r="B8" s="2" t="s">
        <v>56</v>
      </c>
      <c r="C8" s="2" t="s">
        <v>65</v>
      </c>
      <c r="D8" s="2" t="s">
        <v>68</v>
      </c>
      <c r="E8" s="2" t="s">
        <v>72</v>
      </c>
      <c r="F8" s="2" t="s">
        <v>83</v>
      </c>
      <c r="G8" s="2" t="s">
        <v>91</v>
      </c>
      <c r="H8" s="2" t="s">
        <v>95</v>
      </c>
      <c r="I8" s="5">
        <v>46039</v>
      </c>
      <c r="J8" s="2" t="s">
        <v>102</v>
      </c>
      <c r="K8" s="2">
        <v>4</v>
      </c>
      <c r="L8" s="2">
        <v>4</v>
      </c>
      <c r="M8" s="2">
        <v>4</v>
      </c>
      <c r="N8" s="2">
        <v>4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4</v>
      </c>
      <c r="AA8" s="2">
        <v>4</v>
      </c>
      <c r="AB8" s="2">
        <v>4</v>
      </c>
      <c r="AC8" s="2">
        <v>4</v>
      </c>
      <c r="AD8" s="2">
        <v>4</v>
      </c>
      <c r="AE8" s="2">
        <v>4</v>
      </c>
      <c r="AF8" s="2">
        <v>4</v>
      </c>
      <c r="AG8" s="2">
        <v>4</v>
      </c>
      <c r="AH8" s="2">
        <v>4</v>
      </c>
      <c r="AI8" s="2">
        <v>4</v>
      </c>
      <c r="AJ8" s="2">
        <v>4</v>
      </c>
      <c r="AK8" s="2">
        <v>4</v>
      </c>
      <c r="AL8" s="2">
        <v>4</v>
      </c>
      <c r="AM8" s="2">
        <v>4</v>
      </c>
      <c r="AN8" s="2">
        <v>4</v>
      </c>
      <c r="AO8" s="2">
        <v>4</v>
      </c>
      <c r="AP8" s="2">
        <v>4</v>
      </c>
      <c r="AQ8" s="2">
        <v>4</v>
      </c>
      <c r="AR8" s="2">
        <v>4</v>
      </c>
      <c r="AS8" s="2">
        <v>4</v>
      </c>
      <c r="AT8" s="2">
        <v>4</v>
      </c>
      <c r="AU8" s="4">
        <f t="shared" si="0"/>
        <v>4</v>
      </c>
      <c r="AV8" s="2" t="s">
        <v>114</v>
      </c>
      <c r="AW8" s="2" t="s">
        <v>123</v>
      </c>
      <c r="AX8" s="2" t="s">
        <v>132</v>
      </c>
      <c r="AY8" s="2" t="s">
        <v>141</v>
      </c>
      <c r="AZ8" s="2" t="s">
        <v>150</v>
      </c>
      <c r="BA8" s="11">
        <v>0.93</v>
      </c>
      <c r="BB8" s="2" t="s">
        <v>158</v>
      </c>
      <c r="BC8" s="2" t="s">
        <v>166</v>
      </c>
    </row>
    <row r="9" spans="1:55" x14ac:dyDescent="0.25">
      <c r="A9" s="3">
        <v>29</v>
      </c>
      <c r="B9" s="3" t="s">
        <v>57</v>
      </c>
      <c r="C9" s="3" t="s">
        <v>66</v>
      </c>
      <c r="D9" s="3" t="s">
        <v>68</v>
      </c>
      <c r="E9" s="3" t="s">
        <v>75</v>
      </c>
      <c r="F9" s="3" t="s">
        <v>84</v>
      </c>
      <c r="G9" s="3" t="s">
        <v>91</v>
      </c>
      <c r="H9" s="3" t="s">
        <v>97</v>
      </c>
      <c r="I9" s="8">
        <v>46039</v>
      </c>
      <c r="J9" s="3" t="s">
        <v>102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4</v>
      </c>
      <c r="X9" s="3">
        <v>4</v>
      </c>
      <c r="Y9" s="3">
        <v>4</v>
      </c>
      <c r="Z9" s="3">
        <v>4</v>
      </c>
      <c r="AA9" s="3">
        <v>4</v>
      </c>
      <c r="AB9" s="3">
        <v>4</v>
      </c>
      <c r="AC9" s="3">
        <v>4</v>
      </c>
      <c r="AD9" s="3">
        <v>4</v>
      </c>
      <c r="AE9" s="3">
        <v>4</v>
      </c>
      <c r="AF9" s="3">
        <v>4</v>
      </c>
      <c r="AG9" s="3">
        <v>4</v>
      </c>
      <c r="AH9" s="3">
        <v>4</v>
      </c>
      <c r="AI9" s="3">
        <v>4</v>
      </c>
      <c r="AJ9" s="3">
        <v>4</v>
      </c>
      <c r="AK9" s="3">
        <v>4</v>
      </c>
      <c r="AL9" s="3">
        <v>4</v>
      </c>
      <c r="AM9" s="3">
        <v>4</v>
      </c>
      <c r="AN9" s="3">
        <v>4</v>
      </c>
      <c r="AO9" s="3">
        <v>4</v>
      </c>
      <c r="AP9" s="3">
        <v>4</v>
      </c>
      <c r="AQ9" s="3">
        <v>4</v>
      </c>
      <c r="AR9" s="3">
        <v>4</v>
      </c>
      <c r="AS9" s="3">
        <v>4</v>
      </c>
      <c r="AT9" s="3">
        <v>4</v>
      </c>
      <c r="AU9" s="4">
        <f t="shared" si="0"/>
        <v>4</v>
      </c>
      <c r="AV9" s="3" t="s">
        <v>115</v>
      </c>
      <c r="AW9" s="3" t="s">
        <v>124</v>
      </c>
      <c r="AX9" s="3" t="s">
        <v>133</v>
      </c>
      <c r="AY9" s="3" t="s">
        <v>142</v>
      </c>
      <c r="AZ9" s="3" t="s">
        <v>151</v>
      </c>
      <c r="BA9" s="12">
        <v>0.9</v>
      </c>
      <c r="BB9" s="3" t="s">
        <v>159</v>
      </c>
      <c r="BC9" s="3" t="s">
        <v>167</v>
      </c>
    </row>
    <row r="10" spans="1:55" x14ac:dyDescent="0.25">
      <c r="A10" s="2">
        <v>30</v>
      </c>
      <c r="B10" s="2" t="s">
        <v>58</v>
      </c>
      <c r="C10" s="2" t="s">
        <v>67</v>
      </c>
      <c r="D10" s="2" t="s">
        <v>68</v>
      </c>
      <c r="E10" s="2" t="s">
        <v>76</v>
      </c>
      <c r="F10" s="2" t="s">
        <v>85</v>
      </c>
      <c r="G10" s="2" t="s">
        <v>91</v>
      </c>
      <c r="H10" s="2" t="s">
        <v>95</v>
      </c>
      <c r="I10" s="5">
        <v>46039</v>
      </c>
      <c r="J10" s="2" t="s">
        <v>102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4</v>
      </c>
      <c r="W10" s="2">
        <v>4</v>
      </c>
      <c r="X10" s="2">
        <v>4</v>
      </c>
      <c r="Y10" s="2">
        <v>4</v>
      </c>
      <c r="Z10" s="2">
        <v>4</v>
      </c>
      <c r="AA10" s="2">
        <v>4</v>
      </c>
      <c r="AB10" s="2">
        <v>4</v>
      </c>
      <c r="AC10" s="2">
        <v>4</v>
      </c>
      <c r="AD10" s="2">
        <v>4</v>
      </c>
      <c r="AE10" s="2">
        <v>4</v>
      </c>
      <c r="AF10" s="2">
        <v>4</v>
      </c>
      <c r="AG10" s="2">
        <v>4</v>
      </c>
      <c r="AH10" s="2">
        <v>4</v>
      </c>
      <c r="AI10" s="2">
        <v>4</v>
      </c>
      <c r="AJ10" s="2">
        <v>4</v>
      </c>
      <c r="AK10" s="2">
        <v>4</v>
      </c>
      <c r="AL10" s="2">
        <v>4</v>
      </c>
      <c r="AM10" s="2">
        <v>4</v>
      </c>
      <c r="AN10" s="2">
        <v>4</v>
      </c>
      <c r="AO10" s="2">
        <v>4</v>
      </c>
      <c r="AP10" s="2">
        <v>4</v>
      </c>
      <c r="AQ10" s="2">
        <v>4</v>
      </c>
      <c r="AR10" s="2">
        <v>4</v>
      </c>
      <c r="AS10" s="2">
        <v>4</v>
      </c>
      <c r="AT10" s="2">
        <v>4</v>
      </c>
      <c r="AU10" s="4">
        <f t="shared" si="0"/>
        <v>4</v>
      </c>
      <c r="AV10" s="2" t="s">
        <v>116</v>
      </c>
      <c r="AW10" s="2" t="s">
        <v>125</v>
      </c>
      <c r="AX10" s="2" t="s">
        <v>134</v>
      </c>
      <c r="AY10" s="2" t="s">
        <v>143</v>
      </c>
      <c r="AZ10" s="2" t="s">
        <v>152</v>
      </c>
      <c r="BA10" s="11">
        <v>0.98</v>
      </c>
      <c r="BB10" s="2" t="s">
        <v>160</v>
      </c>
      <c r="BC10" s="2" t="s">
        <v>168</v>
      </c>
    </row>
    <row r="11" spans="1:55" x14ac:dyDescent="0.25">
      <c r="AU11" s="9">
        <f>AVERAGE(AU2:AU10)</f>
        <v>4.1913580246913575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4B1B346CF14F4EBC050CC49F419EC7" ma:contentTypeVersion="0" ma:contentTypeDescription="Crear nuevo documento." ma:contentTypeScope="" ma:versionID="d96f13212589c5fe8c80290f5aac0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56b09c02ed9f1d227af818e81e9e97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C0EEE7-1CBF-4D1B-9A67-761DE3AAF5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5AEEF2-7C9A-4E1A-A2BD-D1CD2E670023}">
  <ds:schemaRefs>
    <ds:schemaRef ds:uri="http://schemas.microsoft.com/office/2006/metadata/properties"/>
    <ds:schemaRef ds:uri="http://schemas.microsoft.com/office/infopath/2007/PartnerControls"/>
    <ds:schemaRef ds:uri="00f54115-29ac-4d31-a00a-0376c21102e0"/>
    <ds:schemaRef ds:uri="5d98286c-7940-42e0-8ee4-15e117f0baea"/>
  </ds:schemaRefs>
</ds:datastoreItem>
</file>

<file path=customXml/itemProps3.xml><?xml version="1.0" encoding="utf-8"?>
<ds:datastoreItem xmlns:ds="http://schemas.openxmlformats.org/officeDocument/2006/customXml" ds:itemID="{177BB1DF-8A02-43FB-9F2E-F342F05E4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Alexandra Raches</dc:creator>
  <cp:lastModifiedBy>Daniela Rios</cp:lastModifiedBy>
  <dcterms:created xsi:type="dcterms:W3CDTF">2024-04-18T18:38:56Z</dcterms:created>
  <dcterms:modified xsi:type="dcterms:W3CDTF">2026-01-20T22:21:54Z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0x010100254B1B346CF14F4EBC050CC49F419EC7</vt:lpwstr>
  </property>
  <property fmtid="{D5CDD505-2E9C-101B-9397-08002B2CF9AE}" pid="3" name="MediaServiceImageTags">
    <vt:lpwstr/>
  </property>
  <property fmtid="{D5CDD505-2E9C-101B-9397-08002B2CF9AE}" pid="4" name="Order">
    <vt:r8>986400</vt:r8>
  </property>
</Properties>
</file>